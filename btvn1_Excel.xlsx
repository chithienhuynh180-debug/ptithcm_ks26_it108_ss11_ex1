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hợp phí" sheetId="1" state="visible" r:id="rId3"/>
    <sheet name="Bảng tra người dùng" sheetId="2" state="visible" r:id="rId4"/>
    <sheet name="Dữ liệu giao dịch" sheetId="3" state="visible" r:id="rId5"/>
  </sheets>
  <definedNames>
    <definedName function="false" hidden="true" localSheetId="2" name="_xlnm._FilterDatabase" vbProcedure="false">'Dữ liệu giao dịch'!$A$1:$F$21</definedName>
    <definedName function="false" hidden="true" localSheetId="0" name="_xlnm._FilterDatabase" vbProcedure="false">'Tổng hợp phí'!$A$4:$I$14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<sst xmlns="http://schemas.openxmlformats.org/spreadsheetml/2006/main" count="146" uniqueCount="104">
  <si>
    <t xml:space="preserve">BẢNG TỔNG HỢP PHÍ TỪ ĐỐI TÁC NGÂN HÀNG</t>
  </si>
  <si>
    <t xml:space="preserve">Tháng 05/2024</t>
  </si>
  <si>
    <t xml:space="preserve">STT</t>
  </si>
  <si>
    <t xml:space="preserve">Ngân hàng đối tác</t>
  </si>
  <si>
    <t xml:space="preserve">Mã đối tác</t>
  </si>
  <si>
    <t xml:space="preserve">Số giao dịch (thành công)</t>
  </si>
  <si>
    <t xml:space="preserve">Doanh số (VND)</t>
  </si>
  <si>
    <t xml:space="preserve">Phí cố định (VND)</t>
  </si>
  <si>
    <t xml:space="preserve">Tỷ lệ phí (%)</t>
  </si>
  <si>
    <t xml:space="preserve">Phí biến đổi (VND)</t>
  </si>
  <si>
    <t xml:space="preserve">Tổng phí (VND)</t>
  </si>
  <si>
    <t xml:space="preserve">Vietcombank</t>
  </si>
  <si>
    <t xml:space="preserve">VCB</t>
  </si>
  <si>
    <t xml:space="preserve">BIDV</t>
  </si>
  <si>
    <t xml:space="preserve">VietinBank</t>
  </si>
  <si>
    <t xml:space="preserve">CTG</t>
  </si>
  <si>
    <t xml:space="preserve">Techcombank</t>
  </si>
  <si>
    <t xml:space="preserve">TCB</t>
  </si>
  <si>
    <t xml:space="preserve">MB Bank</t>
  </si>
  <si>
    <t xml:space="preserve">MBB</t>
  </si>
  <si>
    <t xml:space="preserve">ACB</t>
  </si>
  <si>
    <t xml:space="preserve">VPBank</t>
  </si>
  <si>
    <t xml:space="preserve">VPB</t>
  </si>
  <si>
    <t xml:space="preserve">TPBank</t>
  </si>
  <si>
    <t xml:space="preserve">TPB</t>
  </si>
  <si>
    <t xml:space="preserve">OCB</t>
  </si>
  <si>
    <t xml:space="preserve">SHB</t>
  </si>
  <si>
    <t xml:space="preserve">TỔNG CỘNG</t>
  </si>
  <si>
    <t xml:space="preserve">TỔNG HỢP</t>
  </si>
  <si>
    <t xml:space="preserve">Tổng doanh số (VND)</t>
  </si>
  <si>
    <t xml:space="preserve">Ghi chú: Phí = Phí cố định + (Doanh số × Tỷ lệ phí). Chữ xanh là dữ liệu nhập từ đề bài, chữ đen là công thức.</t>
  </si>
  <si>
    <t xml:space="preserve">Tổng số giao dịch</t>
  </si>
  <si>
    <t xml:space="preserve">Tỷ lệ phí bình quân</t>
  </si>
  <si>
    <t xml:space="preserve">Mã giao dịch</t>
  </si>
  <si>
    <t xml:space="preserve">Tên người dùng</t>
  </si>
  <si>
    <t xml:space="preserve">GD0001</t>
  </si>
  <si>
    <t xml:space="preserve">Nguyễn Văn An</t>
  </si>
  <si>
    <t xml:space="preserve">GD0002</t>
  </si>
  <si>
    <t xml:space="preserve">Trần Thị Bích</t>
  </si>
  <si>
    <t xml:space="preserve">GD0003</t>
  </si>
  <si>
    <t xml:space="preserve">Lê Hoàng Cường</t>
  </si>
  <si>
    <t xml:space="preserve">GD0004</t>
  </si>
  <si>
    <t xml:space="preserve">Phạm Minh Đức</t>
  </si>
  <si>
    <t xml:space="preserve">GD0005</t>
  </si>
  <si>
    <t xml:space="preserve">Võ Thị Hà</t>
  </si>
  <si>
    <t xml:space="preserve">GD0006</t>
  </si>
  <si>
    <t xml:space="preserve">Huỳnh Quốc Huy</t>
  </si>
  <si>
    <t xml:space="preserve">GD0007</t>
  </si>
  <si>
    <t xml:space="preserve">Đặng Thu Lan</t>
  </si>
  <si>
    <t xml:space="preserve">GD0008</t>
  </si>
  <si>
    <t xml:space="preserve">Bùi Gia Khang</t>
  </si>
  <si>
    <t xml:space="preserve">GD0009</t>
  </si>
  <si>
    <t xml:space="preserve">Ngô Thanh Mai</t>
  </si>
  <si>
    <t xml:space="preserve">GD0010</t>
  </si>
  <si>
    <t xml:space="preserve">Dương Văn Nam</t>
  </si>
  <si>
    <t xml:space="preserve">GD0011</t>
  </si>
  <si>
    <t xml:space="preserve">Lý Thị Oanh</t>
  </si>
  <si>
    <t xml:space="preserve">GD0012</t>
  </si>
  <si>
    <t xml:space="preserve">Phan Quốc Phong</t>
  </si>
  <si>
    <t xml:space="preserve">GD0013</t>
  </si>
  <si>
    <t xml:space="preserve">Đỗ Thị Quyên</t>
  </si>
  <si>
    <t xml:space="preserve">GD0014</t>
  </si>
  <si>
    <t xml:space="preserve">Hồ Minh Sơn</t>
  </si>
  <si>
    <t xml:space="preserve">GD0015</t>
  </si>
  <si>
    <t xml:space="preserve">Trương Ngọc Trâm</t>
  </si>
  <si>
    <t xml:space="preserve">GD0016</t>
  </si>
  <si>
    <t xml:space="preserve">Mai Văn Tú</t>
  </si>
  <si>
    <t xml:space="preserve">GD0017</t>
  </si>
  <si>
    <t xml:space="preserve">Cao Thị Uyên</t>
  </si>
  <si>
    <t xml:space="preserve">GD0018</t>
  </si>
  <si>
    <t xml:space="preserve">Lâm Hoàng Việt</t>
  </si>
  <si>
    <t xml:space="preserve">GD0019</t>
  </si>
  <si>
    <t xml:space="preserve">Tạ Thị Xuân</t>
  </si>
  <si>
    <t xml:space="preserve">GD0020</t>
  </si>
  <si>
    <t xml:space="preserve">Châu Văn Yên</t>
  </si>
  <si>
    <t xml:space="preserve">Mã giao dịch (thô)</t>
  </si>
  <si>
    <t xml:space="preserve">Ngày</t>
  </si>
  <si>
    <t xml:space="preserve">Số tiền (VND)</t>
  </si>
  <si>
    <t xml:space="preserve">Mã giao dịch (đã TRIM)</t>
  </si>
  <si>
    <t xml:space="preserve">Tên người dùng (VLOOKUP)</t>
  </si>
  <si>
    <t xml:space="preserve">2024-05-01</t>
  </si>
  <si>
    <t xml:space="preserve">2024-05-02</t>
  </si>
  <si>
    <t xml:space="preserve"> GD0003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</si>
  <si>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</si>
  <si>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</si>
  <si>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</si>
  <si>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</si>
  <si>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GD0007 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</si>
  <si>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</si>
  <si>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</si>
  <si>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</si>
  <si>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</si>
  <si>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</si>
  <si>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  GD0012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</si>
  <si>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</si>
  <si>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</si>
  <si>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</si>
  <si>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</si>
  <si>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GD0016  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</si>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</sst>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.0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color rgb="FF1F7A3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7A3A"/>
        <bgColor rgb="FF008080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7A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3A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20"/>
    <col collapsed="false" customWidth="true" hidden="false" outlineLevel="0" max="9" min="9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1</v>
      </c>
      <c r="B5" s="5" t="s">
        <v>11</v>
      </c>
      <c r="C5" s="4" t="s">
        <v>12</v>
      </c>
      <c r="D5" s="6" t="n">
        <v>128345</v>
      </c>
      <c r="E5" s="6" t="n">
        <v>25364580000</v>
      </c>
      <c r="F5" s="6" t="n">
        <v>1000000</v>
      </c>
      <c r="G5" s="7" t="n">
        <v>0.0008</v>
      </c>
      <c r="H5" s="8" t="n">
        <f aca="false">ROUND(E5*G5,0)</f>
        <v>20291664</v>
      </c>
      <c r="I5" s="8" t="n">
        <f aca="false">F5+H5</f>
        <v>21291664</v>
      </c>
    </row>
    <row r="6" customFormat="false" ht="15" hidden="false" customHeight="false" outlineLevel="0" collapsed="false">
      <c r="A6" s="4" t="n">
        <v>2</v>
      </c>
      <c r="B6" s="5" t="s">
        <v>13</v>
      </c>
      <c r="C6" s="4" t="s">
        <v>13</v>
      </c>
      <c r="D6" s="6" t="n">
        <v>96732</v>
      </c>
      <c r="E6" s="6" t="n">
        <v>18245760000</v>
      </c>
      <c r="F6" s="6" t="n">
        <v>1000000</v>
      </c>
      <c r="G6" s="7" t="n">
        <v>0.0008</v>
      </c>
      <c r="H6" s="8" t="n">
        <f aca="false">ROUND(E6*G6,0)</f>
        <v>14596608</v>
      </c>
      <c r="I6" s="8" t="n">
        <f aca="false">F6+H6</f>
        <v>15596608</v>
      </c>
    </row>
    <row r="7" customFormat="false" ht="15" hidden="false" customHeight="false" outlineLevel="0" collapsed="false">
      <c r="A7" s="4" t="n">
        <v>3</v>
      </c>
      <c r="B7" s="5" t="s">
        <v>14</v>
      </c>
      <c r="C7" s="4" t="s">
        <v>15</v>
      </c>
      <c r="D7" s="6" t="n">
        <v>87531</v>
      </c>
      <c r="E7" s="6" t="n">
        <v>16834210000</v>
      </c>
      <c r="F7" s="6" t="n">
        <v>1000000</v>
      </c>
      <c r="G7" s="7" t="n">
        <v>0.0007</v>
      </c>
      <c r="H7" s="8" t="n">
        <f aca="false">ROUND(E7*G7,0)</f>
        <v>11783947</v>
      </c>
      <c r="I7" s="8" t="n">
        <f aca="false">F7+H7</f>
        <v>12783947</v>
      </c>
    </row>
    <row r="8" customFormat="false" ht="15" hidden="false" customHeight="false" outlineLevel="0" collapsed="false">
      <c r="A8" s="4" t="n">
        <v>4</v>
      </c>
      <c r="B8" s="5" t="s">
        <v>16</v>
      </c>
      <c r="C8" s="4" t="s">
        <v>17</v>
      </c>
      <c r="D8" s="6" t="n">
        <v>74113</v>
      </c>
      <c r="E8" s="6" t="n">
        <v>14102330000</v>
      </c>
      <c r="F8" s="6" t="n">
        <v>1000000</v>
      </c>
      <c r="G8" s="7" t="n">
        <v>0.0007</v>
      </c>
      <c r="H8" s="8" t="n">
        <f aca="false">ROUND(E8*G8,0)</f>
        <v>9871631</v>
      </c>
      <c r="I8" s="8" t="n">
        <f aca="false">F8+H8</f>
        <v>10871631</v>
      </c>
    </row>
    <row r="9" customFormat="false" ht="15" hidden="false" customHeight="false" outlineLevel="0" collapsed="false">
      <c r="A9" s="4" t="n">
        <v>5</v>
      </c>
      <c r="B9" s="5" t="s">
        <v>18</v>
      </c>
      <c r="C9" s="4" t="s">
        <v>19</v>
      </c>
      <c r="D9" s="6" t="n">
        <v>63921</v>
      </c>
      <c r="E9" s="6" t="n">
        <v>12009880000</v>
      </c>
      <c r="F9" s="6" t="n">
        <v>1000000</v>
      </c>
      <c r="G9" s="7" t="n">
        <v>0.0008</v>
      </c>
      <c r="H9" s="8" t="n">
        <f aca="false">ROUND(E9*G9,0)</f>
        <v>9607904</v>
      </c>
      <c r="I9" s="8" t="n">
        <f aca="false">F9+H9</f>
        <v>10607904</v>
      </c>
    </row>
    <row r="10" customFormat="false" ht="15" hidden="false" customHeight="false" outlineLevel="0" collapsed="false">
      <c r="A10" s="4" t="n">
        <v>6</v>
      </c>
      <c r="B10" s="5" t="s">
        <v>20</v>
      </c>
      <c r="C10" s="4" t="s">
        <v>20</v>
      </c>
      <c r="D10" s="6" t="n">
        <v>52448</v>
      </c>
      <c r="E10" s="6" t="n">
        <v>9455230000</v>
      </c>
      <c r="F10" s="6" t="n">
        <v>1000000</v>
      </c>
      <c r="G10" s="7" t="n">
        <v>0.0008</v>
      </c>
      <c r="H10" s="8" t="n">
        <f aca="false">ROUND(E10*G10,0)</f>
        <v>7564184</v>
      </c>
      <c r="I10" s="8" t="n">
        <f aca="false">F10+H10</f>
        <v>8564184</v>
      </c>
    </row>
    <row r="11" customFormat="false" ht="15" hidden="false" customHeight="false" outlineLevel="0" collapsed="false">
      <c r="A11" s="4" t="n">
        <v>7</v>
      </c>
      <c r="B11" s="5" t="s">
        <v>21</v>
      </c>
      <c r="C11" s="4" t="s">
        <v>22</v>
      </c>
      <c r="D11" s="6" t="n">
        <v>49302</v>
      </c>
      <c r="E11" s="6" t="n">
        <v>8921450000</v>
      </c>
      <c r="F11" s="6" t="n">
        <v>1000000</v>
      </c>
      <c r="G11" s="7" t="n">
        <v>0.0008</v>
      </c>
      <c r="H11" s="8" t="n">
        <f aca="false">ROUND(E11*G11,0)</f>
        <v>7137160</v>
      </c>
      <c r="I11" s="8" t="n">
        <f aca="false">F11+H11</f>
        <v>8137160</v>
      </c>
    </row>
    <row r="12" customFormat="false" ht="15" hidden="false" customHeight="false" outlineLevel="0" collapsed="false">
      <c r="A12" s="4" t="n">
        <v>8</v>
      </c>
      <c r="B12" s="5" t="s">
        <v>23</v>
      </c>
      <c r="C12" s="4" t="s">
        <v>24</v>
      </c>
      <c r="D12" s="6" t="n">
        <v>38654</v>
      </c>
      <c r="E12" s="6" t="n">
        <v>6784120000</v>
      </c>
      <c r="F12" s="6" t="n">
        <v>1000000</v>
      </c>
      <c r="G12" s="7" t="n">
        <v>0.0008</v>
      </c>
      <c r="H12" s="8" t="n">
        <f aca="false">ROUND(E12*G12,0)</f>
        <v>5427296</v>
      </c>
      <c r="I12" s="8" t="n">
        <f aca="false">F12+H12</f>
        <v>6427296</v>
      </c>
    </row>
    <row r="13" customFormat="false" ht="15" hidden="false" customHeight="false" outlineLevel="0" collapsed="false">
      <c r="A13" s="4" t="n">
        <v>9</v>
      </c>
      <c r="B13" s="5" t="s">
        <v>25</v>
      </c>
      <c r="C13" s="4" t="s">
        <v>25</v>
      </c>
      <c r="D13" s="6" t="n">
        <v>27832</v>
      </c>
      <c r="E13" s="6" t="n">
        <v>4982630000</v>
      </c>
      <c r="F13" s="6" t="n">
        <v>1000000</v>
      </c>
      <c r="G13" s="7" t="n">
        <v>0.0008</v>
      </c>
      <c r="H13" s="8" t="n">
        <f aca="false">ROUND(E13*G13,0)</f>
        <v>3986104</v>
      </c>
      <c r="I13" s="8" t="n">
        <f aca="false">F13+H13</f>
        <v>4986104</v>
      </c>
    </row>
    <row r="14" customFormat="false" ht="15" hidden="false" customHeight="false" outlineLevel="0" collapsed="false">
      <c r="A14" s="4" t="n">
        <v>10</v>
      </c>
      <c r="B14" s="5" t="s">
        <v>26</v>
      </c>
      <c r="C14" s="4" t="s">
        <v>26</v>
      </c>
      <c r="D14" s="6" t="n">
        <v>22145</v>
      </c>
      <c r="E14" s="6" t="n">
        <v>3765230000</v>
      </c>
      <c r="F14" s="6" t="n">
        <v>1000000</v>
      </c>
      <c r="G14" s="7" t="n">
        <v>0.0008</v>
      </c>
      <c r="H14" s="8" t="n">
        <f aca="false">ROUND(E14*G14,0)</f>
        <v>3012184</v>
      </c>
      <c r="I14" s="8" t="n">
        <f aca="false">F14+H14</f>
        <v>4012184</v>
      </c>
    </row>
    <row r="15" customFormat="false" ht="15" hidden="false" customHeight="false" outlineLevel="0" collapsed="false">
      <c r="A15" s="9" t="s">
        <v>27</v>
      </c>
      <c r="B15" s="9"/>
      <c r="C15" s="9"/>
      <c r="D15" s="10" t="n">
        <f aca="false">SUM(D5:D14)</f>
        <v>641023</v>
      </c>
      <c r="E15" s="10" t="n">
        <f aca="false">SUM(E5:E14)</f>
        <v>120465420000</v>
      </c>
      <c r="F15" s="10" t="n">
        <f aca="false">SUM(F5:F14)</f>
        <v>10000000</v>
      </c>
      <c r="G15" s="9"/>
      <c r="H15" s="10" t="n">
        <f aca="false">SUM(H5:H14)</f>
        <v>93278682</v>
      </c>
      <c r="I15" s="10" t="n">
        <f aca="false">SUM(I5:I14)</f>
        <v>103278682</v>
      </c>
    </row>
    <row r="17" customFormat="false" ht="15" hidden="false" customHeight="false" outlineLevel="0" collapsed="false">
      <c r="A17" s="11" t="s">
        <v>28</v>
      </c>
    </row>
    <row r="18" customFormat="false" ht="15" hidden="false" customHeight="false" outlineLevel="0" collapsed="false">
      <c r="A18" s="12" t="s">
        <v>29</v>
      </c>
      <c r="D18" s="13" t="n">
        <f aca="false">E15</f>
        <v>120465420000</v>
      </c>
      <c r="F18" s="14" t="s">
        <v>30</v>
      </c>
    </row>
    <row r="19" customFormat="false" ht="15" hidden="false" customHeight="false" outlineLevel="0" collapsed="false">
      <c r="A19" s="12" t="s">
        <v>31</v>
      </c>
      <c r="D19" s="13" t="n">
        <f aca="false">D15</f>
        <v>641023</v>
      </c>
    </row>
    <row r="20" customFormat="false" ht="15" hidden="false" customHeight="false" outlineLevel="0" collapsed="false">
      <c r="A20" s="12" t="s">
        <v>10</v>
      </c>
      <c r="D20" s="13" t="n">
        <f aca="false">I15</f>
        <v>103278682</v>
      </c>
    </row>
    <row r="21" customFormat="false" ht="15" hidden="false" customHeight="false" outlineLevel="0" collapsed="false">
      <c r="A21" s="12" t="s">
        <v>32</v>
      </c>
      <c r="D21" s="15" t="n">
        <f aca="false">I15/E15</f>
        <v>0.000857330526884811</v>
      </c>
    </row>
  </sheetData>
  <autoFilter ref="A4:I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</cols>
  <sheetData>
    <row r="1" customFormat="false" ht="15" hidden="false" customHeight="false" outlineLevel="0" collapsed="false">
      <c r="A1" s="16" t="s">
        <v>33</v>
      </c>
      <c r="B1" s="16" t="s">
        <v>34</v>
      </c>
    </row>
    <row r="2" customFormat="false" ht="15" hidden="false" customHeight="false" outlineLevel="0" collapsed="false">
      <c r="A2" s="17" t="s">
        <v>35</v>
      </c>
      <c r="B2" s="17" t="s">
        <v>36</v>
      </c>
    </row>
    <row r="3" customFormat="false" ht="15" hidden="false" customHeight="false" outlineLevel="0" collapsed="false">
      <c r="A3" s="17" t="s">
        <v>37</v>
      </c>
      <c r="B3" s="17" t="s">
        <v>38</v>
      </c>
    </row>
    <row r="4" customFormat="false" ht="15" hidden="false" customHeight="false" outlineLevel="0" collapsed="false">
      <c r="A4" s="17" t="s">
        <v>39</v>
      </c>
      <c r="B4" s="17" t="s">
        <v>40</v>
      </c>
    </row>
    <row r="5" customFormat="false" ht="15" hidden="false" customHeight="false" outlineLevel="0" collapsed="false">
      <c r="A5" s="17" t="s">
        <v>41</v>
      </c>
      <c r="B5" s="17" t="s">
        <v>42</v>
      </c>
    </row>
    <row r="6" customFormat="false" ht="15" hidden="false" customHeight="false" outlineLevel="0" collapsed="false">
      <c r="A6" s="17" t="s">
        <v>43</v>
      </c>
      <c r="B6" s="17" t="s">
        <v>44</v>
      </c>
    </row>
    <row r="7" customFormat="false" ht="15" hidden="false" customHeight="false" outlineLevel="0" collapsed="false">
      <c r="A7" s="17" t="s">
        <v>45</v>
      </c>
      <c r="B7" s="17" t="s">
        <v>46</v>
      </c>
    </row>
    <row r="8" customFormat="false" ht="15" hidden="false" customHeight="false" outlineLevel="0" collapsed="false">
      <c r="A8" s="17" t="s">
        <v>47</v>
      </c>
      <c r="B8" s="17" t="s">
        <v>48</v>
      </c>
    </row>
    <row r="9" customFormat="false" ht="15" hidden="false" customHeight="false" outlineLevel="0" collapsed="false">
      <c r="A9" s="17" t="s">
        <v>49</v>
      </c>
      <c r="B9" s="17" t="s">
        <v>50</v>
      </c>
    </row>
    <row r="10" customFormat="false" ht="15" hidden="false" customHeight="false" outlineLevel="0" collapsed="false">
      <c r="A10" s="17" t="s">
        <v>51</v>
      </c>
      <c r="B10" s="17" t="s">
        <v>52</v>
      </c>
    </row>
    <row r="11" customFormat="false" ht="15" hidden="false" customHeight="false" outlineLevel="0" collapsed="false">
      <c r="A11" s="17" t="s">
        <v>53</v>
      </c>
      <c r="B11" s="17" t="s">
        <v>54</v>
      </c>
    </row>
    <row r="12" customFormat="false" ht="15" hidden="false" customHeight="false" outlineLevel="0" collapsed="false">
      <c r="A12" s="17" t="s">
        <v>55</v>
      </c>
      <c r="B12" s="17" t="s">
        <v>56</v>
      </c>
    </row>
    <row r="13" customFormat="false" ht="15" hidden="false" customHeight="false" outlineLevel="0" collapsed="false">
      <c r="A13" s="17" t="s">
        <v>57</v>
      </c>
      <c r="B13" s="17" t="s">
        <v>58</v>
      </c>
    </row>
    <row r="14" customFormat="false" ht="15" hidden="false" customHeight="false" outlineLevel="0" collapsed="false">
      <c r="A14" s="17" t="s">
        <v>59</v>
      </c>
      <c r="B14" s="17" t="s">
        <v>60</v>
      </c>
    </row>
    <row r="15" customFormat="false" ht="15" hidden="false" customHeight="false" outlineLevel="0" collapsed="false">
      <c r="A15" s="17" t="s">
        <v>61</v>
      </c>
      <c r="B15" s="17" t="s">
        <v>62</v>
      </c>
    </row>
    <row r="16" customFormat="false" ht="15" hidden="false" customHeight="false" outlineLevel="0" collapsed="false">
      <c r="A16" s="17" t="s">
        <v>63</v>
      </c>
      <c r="B16" s="17" t="s">
        <v>64</v>
      </c>
    </row>
    <row r="17" customFormat="false" ht="15" hidden="false" customHeight="false" outlineLevel="0" collapsed="false">
      <c r="A17" s="17" t="s">
        <v>65</v>
      </c>
      <c r="B17" s="17" t="s">
        <v>66</v>
      </c>
    </row>
    <row r="18" customFormat="false" ht="15" hidden="false" customHeight="false" outlineLevel="0" collapsed="false">
      <c r="A18" s="17" t="s">
        <v>67</v>
      </c>
      <c r="B18" s="17" t="s">
        <v>68</v>
      </c>
    </row>
    <row r="19" customFormat="false" ht="15" hidden="false" customHeight="false" outlineLevel="0" collapsed="false">
      <c r="A19" s="17" t="s">
        <v>69</v>
      </c>
      <c r="B19" s="17" t="s">
        <v>70</v>
      </c>
    </row>
    <row r="20" customFormat="false" ht="15" hidden="false" customHeight="false" outlineLevel="0" collapsed="false">
      <c r="A20" s="17" t="s">
        <v>71</v>
      </c>
      <c r="B20" s="17" t="s">
        <v>72</v>
      </c>
    </row>
    <row r="21" customFormat="false" ht="15" hidden="false" customHeight="false" outlineLevel="0" collapsed="false">
      <c r="A21" s="17" t="s">
        <v>73</v>
      </c>
      <c r="B21" s="17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26"/>
  </cols>
  <sheetData>
    <row r="1" customFormat="false" ht="31.5" hidden="false" customHeight="true" outlineLevel="0" collapsed="false">
      <c r="A1" s="18" t="s">
        <v>75</v>
      </c>
      <c r="B1" s="18" t="s">
        <v>76</v>
      </c>
      <c r="C1" s="18" t="s">
        <v>4</v>
      </c>
      <c r="D1" s="18" t="s">
        <v>77</v>
      </c>
      <c r="E1" s="18" t="s">
        <v>78</v>
      </c>
      <c r="F1" s="18" t="s">
        <v>79</v>
      </c>
    </row>
    <row r="2" customFormat="false" ht="15" hidden="false" customHeight="false" outlineLevel="0" collapsed="false">
      <c r="A2" s="17" t="s">
        <v>35</v>
      </c>
      <c r="B2" s="17" t="s">
        <v>80</v>
      </c>
      <c r="C2" s="17" t="s">
        <v>12</v>
      </c>
      <c r="D2" s="6" t="n">
        <v>150000</v>
      </c>
      <c r="E2" s="5" t="str">
        <f aca="false">TRIM(A2)</f>
        <v>GD0001</v>
      </c>
      <c r="F2" s="5" t="str">
        <f aca="false">VLOOKUP(E2,'Bảng tra người dùng'!$A$2:$B$21,2,FALSE())</f>
        <v>Nguyễn Văn An</v>
      </c>
    </row>
    <row r="3" customFormat="false" ht="15" hidden="false" customHeight="false" outlineLevel="0" collapsed="false">
      <c r="A3" s="17" t="s">
        <v>37</v>
      </c>
      <c r="B3" s="17" t="s">
        <v>81</v>
      </c>
      <c r="C3" s="17" t="s">
        <v>13</v>
      </c>
      <c r="D3" s="6" t="n">
        <v>320000</v>
      </c>
      <c r="E3" s="5" t="str">
        <f aca="false">TRIM(A3)</f>
        <v>GD0002</v>
      </c>
      <c r="F3" s="5" t="str">
        <f aca="false">VLOOKUP(E3,'Bảng tra người dùng'!$A$2:$B$21,2,FALSE())</f>
        <v>Trần Thị Bích</v>
      </c>
    </row>
    <row r="4" customFormat="false" ht="15" hidden="false" customHeight="false" outlineLevel="0" collapsed="false">
      <c r="A4" s="17" t="s">
        <v>82</v>
      </c>
      <c r="B4" s="17" t="s">
        <v>83</v>
      </c>
      <c r="C4" s="17" t="s">
        <v>15</v>
      </c>
      <c r="D4" s="6" t="n">
        <v>85000</v>
      </c>
      <c r="E4" s="5" t="str">
        <f aca="false">TRIM(A4)</f>
        <v>GD0003</v>
      </c>
      <c r="F4" s="5" t="str">
        <f aca="false">VLOOKUP(E4,'Bảng tra người dùng'!$A$2:$B$21,2,FALSE())</f>
        <v>Lê Hoàng Cường</v>
      </c>
    </row>
    <row r="5" customFormat="false" ht="15" hidden="false" customHeight="false" outlineLevel="0" collapsed="false">
      <c r="A5" s="17" t="s">
        <v>41</v>
      </c>
      <c r="B5" s="17" t="s">
        <v>84</v>
      </c>
      <c r="C5" s="17" t="s">
        <v>17</v>
      </c>
      <c r="D5" s="6" t="n">
        <v>500000</v>
      </c>
      <c r="E5" s="5" t="str">
        <f aca="false">TRIM(A5)</f>
        <v>GD0004</v>
      </c>
      <c r="F5" s="5" t="str">
        <f aca="false">VLOOKUP(E5,'Bảng tra người dùng'!$A$2:$B$21,2,FALSE())</f>
        <v>Phạm Minh Đức</v>
      </c>
    </row>
    <row r="6" customFormat="false" ht="15" hidden="false" customHeight="false" outlineLevel="0" collapsed="false">
      <c r="A6" s="17" t="s">
        <v>43</v>
      </c>
      <c r="B6" s="17" t="s">
        <v>85</v>
      </c>
      <c r="C6" s="17" t="s">
        <v>19</v>
      </c>
      <c r="D6" s="6" t="n">
        <v>1200000</v>
      </c>
      <c r="E6" s="5" t="str">
        <f aca="false">TRIM(A6)</f>
        <v>GD0005</v>
      </c>
      <c r="F6" s="5" t="str">
        <f aca="false">VLOOKUP(E6,'Bảng tra người dùng'!$A$2:$B$21,2,FALSE())</f>
        <v>Võ Thị Hà</v>
      </c>
    </row>
    <row r="7" customFormat="false" ht="15" hidden="false" customHeight="false" outlineLevel="0" collapsed="false">
      <c r="A7" s="17" t="s">
        <v>45</v>
      </c>
      <c r="B7" s="17" t="s">
        <v>86</v>
      </c>
      <c r="C7" s="17" t="s">
        <v>20</v>
      </c>
      <c r="D7" s="6" t="n">
        <v>45000</v>
      </c>
      <c r="E7" s="5" t="str">
        <f aca="false">TRIM(A7)</f>
        <v>GD0006</v>
      </c>
      <c r="F7" s="5" t="str">
        <f aca="false">VLOOKUP(E7,'Bảng tra người dùng'!$A$2:$B$21,2,FALSE())</f>
        <v>Huỳnh Quốc Huy</v>
      </c>
    </row>
    <row r="8" customFormat="false" ht="15" hidden="false" customHeight="false" outlineLevel="0" collapsed="false">
      <c r="A8" s="17" t="s">
        <v>87</v>
      </c>
      <c r="B8" s="17" t="s">
        <v>88</v>
      </c>
      <c r="C8" s="17" t="s">
        <v>22</v>
      </c>
      <c r="D8" s="6" t="n">
        <v>260000</v>
      </c>
      <c r="E8" s="5" t="str">
        <f aca="false">TRIM(A8)</f>
        <v>GD0007</v>
      </c>
      <c r="F8" s="5" t="str">
        <f aca="false">VLOOKUP(E8,'Bảng tra người dùng'!$A$2:$B$21,2,FALSE())</f>
        <v>Đặng Thu Lan</v>
      </c>
    </row>
    <row r="9" customFormat="false" ht="15" hidden="false" customHeight="false" outlineLevel="0" collapsed="false">
      <c r="A9" s="17" t="s">
        <v>49</v>
      </c>
      <c r="B9" s="17" t="s">
        <v>89</v>
      </c>
      <c r="C9" s="17" t="s">
        <v>24</v>
      </c>
      <c r="D9" s="6" t="n">
        <v>75000</v>
      </c>
      <c r="E9" s="5" t="str">
        <f aca="false">TRIM(A9)</f>
        <v>GD0008</v>
      </c>
      <c r="F9" s="5" t="str">
        <f aca="false">VLOOKUP(E9,'Bảng tra người dùng'!$A$2:$B$21,2,FALSE())</f>
        <v>Bùi Gia Khang</v>
      </c>
    </row>
    <row r="10" customFormat="false" ht="15" hidden="false" customHeight="false" outlineLevel="0" collapsed="false">
      <c r="A10" s="17" t="s">
        <v>51</v>
      </c>
      <c r="B10" s="17" t="s">
        <v>90</v>
      </c>
      <c r="C10" s="17" t="s">
        <v>25</v>
      </c>
      <c r="D10" s="6" t="n">
        <v>980000</v>
      </c>
      <c r="E10" s="5" t="str">
        <f aca="false">TRIM(A10)</f>
        <v>GD0009</v>
      </c>
      <c r="F10" s="5" t="str">
        <f aca="false">VLOOKUP(E10,'Bảng tra người dùng'!$A$2:$B$21,2,FALSE())</f>
        <v>Ngô Thanh Mai</v>
      </c>
    </row>
    <row r="11" customFormat="false" ht="15" hidden="false" customHeight="false" outlineLevel="0" collapsed="false">
      <c r="A11" s="17" t="s">
        <v>53</v>
      </c>
      <c r="B11" s="17" t="s">
        <v>91</v>
      </c>
      <c r="C11" s="17" t="s">
        <v>26</v>
      </c>
      <c r="D11" s="6" t="n">
        <v>130000</v>
      </c>
      <c r="E11" s="5" t="str">
        <f aca="false">TRIM(A11)</f>
        <v>GD0010</v>
      </c>
      <c r="F11" s="5" t="str">
        <f aca="false">VLOOKUP(E11,'Bảng tra người dùng'!$A$2:$B$21,2,FALSE())</f>
        <v>Dương Văn Nam</v>
      </c>
    </row>
    <row r="12" customFormat="false" ht="15" hidden="false" customHeight="false" outlineLevel="0" collapsed="false">
      <c r="A12" s="17" t="s">
        <v>55</v>
      </c>
      <c r="B12" s="17" t="s">
        <v>92</v>
      </c>
      <c r="C12" s="17" t="s">
        <v>12</v>
      </c>
      <c r="D12" s="6" t="n">
        <v>60000</v>
      </c>
      <c r="E12" s="5" t="str">
        <f aca="false">TRIM(A12)</f>
        <v>GD0011</v>
      </c>
      <c r="F12" s="5" t="str">
        <f aca="false">VLOOKUP(E12,'Bảng tra người dùng'!$A$2:$B$21,2,FALSE())</f>
        <v>Lý Thị Oanh</v>
      </c>
    </row>
    <row r="13" customFormat="false" ht="15" hidden="false" customHeight="false" outlineLevel="0" collapsed="false">
      <c r="A13" s="17" t="s">
        <v>93</v>
      </c>
      <c r="B13" s="17" t="s">
        <v>94</v>
      </c>
      <c r="C13" s="17" t="s">
        <v>13</v>
      </c>
      <c r="D13" s="6" t="n">
        <v>410000</v>
      </c>
      <c r="E13" s="5" t="str">
        <f aca="false">TRIM(A13)</f>
        <v>GD0012</v>
      </c>
      <c r="F13" s="5" t="str">
        <f aca="false">VLOOKUP(E13,'Bảng tra người dùng'!$A$2:$B$21,2,FALSE())</f>
        <v>Phan Quốc Phong</v>
      </c>
    </row>
    <row r="14" customFormat="false" ht="15" hidden="false" customHeight="false" outlineLevel="0" collapsed="false">
      <c r="A14" s="17" t="s">
        <v>59</v>
      </c>
      <c r="B14" s="17" t="s">
        <v>95</v>
      </c>
      <c r="C14" s="17" t="s">
        <v>15</v>
      </c>
      <c r="D14" s="6" t="n">
        <v>230000</v>
      </c>
      <c r="E14" s="5" t="str">
        <f aca="false">TRIM(A14)</f>
        <v>GD0013</v>
      </c>
      <c r="F14" s="5" t="str">
        <f aca="false">VLOOKUP(E14,'Bảng tra người dùng'!$A$2:$B$21,2,FALSE())</f>
        <v>Đỗ Thị Quyên</v>
      </c>
    </row>
    <row r="15" customFormat="false" ht="15" hidden="false" customHeight="false" outlineLevel="0" collapsed="false">
      <c r="A15" s="17" t="s">
        <v>61</v>
      </c>
      <c r="B15" s="17" t="s">
        <v>96</v>
      </c>
      <c r="C15" s="17" t="s">
        <v>17</v>
      </c>
      <c r="D15" s="6" t="n">
        <v>700000</v>
      </c>
      <c r="E15" s="5" t="str">
        <f aca="false">TRIM(A15)</f>
        <v>GD0014</v>
      </c>
      <c r="F15" s="5" t="str">
        <f aca="false">VLOOKUP(E15,'Bảng tra người dùng'!$A$2:$B$21,2,FALSE())</f>
        <v>Hồ Minh Sơn</v>
      </c>
    </row>
    <row r="16" customFormat="false" ht="15" hidden="false" customHeight="false" outlineLevel="0" collapsed="false">
      <c r="A16" s="17" t="s">
        <v>63</v>
      </c>
      <c r="B16" s="17" t="s">
        <v>97</v>
      </c>
      <c r="C16" s="17" t="s">
        <v>19</v>
      </c>
      <c r="D16" s="6" t="n">
        <v>95000</v>
      </c>
      <c r="E16" s="5" t="str">
        <f aca="false">TRIM(A16)</f>
        <v>GD0015</v>
      </c>
      <c r="F16" s="5" t="str">
        <f aca="false">VLOOKUP(E16,'Bảng tra người dùng'!$A$2:$B$21,2,FALSE())</f>
        <v>Trương Ngọc Trâm</v>
      </c>
    </row>
    <row r="17" customFormat="false" ht="15" hidden="false" customHeight="false" outlineLevel="0" collapsed="false">
      <c r="A17" s="17" t="s">
        <v>98</v>
      </c>
      <c r="B17" s="17" t="s">
        <v>99</v>
      </c>
      <c r="C17" s="17" t="s">
        <v>20</v>
      </c>
      <c r="D17" s="6" t="n">
        <v>175000</v>
      </c>
      <c r="E17" s="5" t="str">
        <f aca="false">TRIM(A17)</f>
        <v>GD0016</v>
      </c>
      <c r="F17" s="5" t="str">
        <f aca="false">VLOOKUP(E17,'Bảng tra người dùng'!$A$2:$B$21,2,FALSE())</f>
        <v>Mai Văn Tú</v>
      </c>
    </row>
    <row r="18" customFormat="false" ht="15" hidden="false" customHeight="false" outlineLevel="0" collapsed="false">
      <c r="A18" s="17" t="s">
        <v>67</v>
      </c>
      <c r="B18" s="17" t="s">
        <v>100</v>
      </c>
      <c r="C18" s="17" t="s">
        <v>22</v>
      </c>
      <c r="D18" s="6" t="n">
        <v>380000</v>
      </c>
      <c r="E18" s="5" t="str">
        <f aca="false">TRIM(A18)</f>
        <v>GD0017</v>
      </c>
      <c r="F18" s="5" t="str">
        <f aca="false">VLOOKUP(E18,'Bảng tra người dùng'!$A$2:$B$21,2,FALSE())</f>
        <v>Cao Thị Uyên</v>
      </c>
    </row>
    <row r="19" customFormat="false" ht="15" hidden="false" customHeight="false" outlineLevel="0" collapsed="false">
      <c r="A19" s="17" t="s">
        <v>69</v>
      </c>
      <c r="B19" s="17" t="s">
        <v>101</v>
      </c>
      <c r="C19" s="17" t="s">
        <v>24</v>
      </c>
      <c r="D19" s="6" t="n">
        <v>55000</v>
      </c>
      <c r="E19" s="5" t="str">
        <f aca="false">TRIM(A19)</f>
        <v>GD0018</v>
      </c>
      <c r="F19" s="5" t="str">
        <f aca="false">VLOOKUP(E19,'Bảng tra người dùng'!$A$2:$B$21,2,FALSE())</f>
        <v>Lâm Hoàng Việt</v>
      </c>
    </row>
    <row r="20" customFormat="false" ht="15" hidden="false" customHeight="false" outlineLevel="0" collapsed="false">
      <c r="A20" s="17" t="s">
        <v>71</v>
      </c>
      <c r="B20" s="17" t="s">
        <v>102</v>
      </c>
      <c r="C20" s="17" t="s">
        <v>25</v>
      </c>
      <c r="D20" s="6" t="n">
        <v>820000</v>
      </c>
      <c r="E20" s="5" t="str">
        <f aca="false">TRIM(A20)</f>
        <v>GD0019</v>
      </c>
      <c r="F20" s="5" t="str">
        <f aca="false">VLOOKUP(E20,'Bảng tra người dùng'!$A$2:$B$21,2,FALSE())</f>
        <v>Tạ Thị Xuân</v>
      </c>
    </row>
    <row r="21" customFormat="false" ht="15" hidden="false" customHeight="false" outlineLevel="0" collapsed="false">
      <c r="A21" s="17" t="s">
        <v>73</v>
      </c>
      <c r="B21" s="17" t="s">
        <v>103</v>
      </c>
      <c r="C21" s="17" t="s">
        <v>26</v>
      </c>
      <c r="D21" s="6" t="n">
        <v>265000</v>
      </c>
      <c r="E21" s="5" t="str">
        <f aca="false">TRIM(A21)</f>
        <v>GD0020</v>
      </c>
      <c r="F21" s="5" t="str">
        <f aca="false">VLOOKUP(E21,'Bảng tra người dùng'!$A$2:$B$21,2,FALSE())</f>
        <v>Châu Văn Yên</v>
      </c>
    </row>
  </sheetData>
  <autoFilter ref="A1:F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2026-10-26T08:56:14Z</dcterms:created>
  <dc:creator>openpyxl</dc:creator>
  <dc:description/>
  <dc:language>en-US</dc:language>
  <cp:lastModifiedBy/>
  <dcterms:modified xsi:type="dcterms:W3CDTF">2026-10-26T08:56:14Z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